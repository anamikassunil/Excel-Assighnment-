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493EA172AC4B07/Documents/"/>
    </mc:Choice>
  </mc:AlternateContent>
  <xr:revisionPtr revIDLastSave="227" documentId="8_{2B57C1AF-6484-487B-8453-CF02097E6D2A}" xr6:coauthVersionLast="47" xr6:coauthVersionMax="47" xr10:uidLastSave="{D06A64FB-0AE6-4F5D-898B-3078F0928D49}"/>
  <bookViews>
    <workbookView xWindow="-110" yWindow="-110" windowWidth="19420" windowHeight="11500" xr2:uid="{ED57BF17-4FD0-42FF-9B05-F4F5F871BF2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H2" i="1"/>
  <c r="I2" i="1"/>
  <c r="J2" i="1"/>
  <c r="G3" i="1"/>
  <c r="H3" i="1"/>
  <c r="I3" i="1"/>
  <c r="J3" i="1"/>
  <c r="M3" i="1"/>
  <c r="G4" i="1"/>
  <c r="H4" i="1"/>
  <c r="I4" i="1"/>
  <c r="J4" i="1"/>
  <c r="G5" i="1"/>
  <c r="H5" i="1"/>
  <c r="I5" i="1"/>
  <c r="J5" i="1"/>
  <c r="G6" i="1"/>
  <c r="H6" i="1"/>
  <c r="I6" i="1"/>
  <c r="J6" i="1"/>
  <c r="M6" i="1"/>
  <c r="G7" i="1"/>
  <c r="H7" i="1"/>
  <c r="I7" i="1"/>
  <c r="J7" i="1"/>
  <c r="G8" i="1"/>
  <c r="H8" i="1"/>
  <c r="I8" i="1"/>
  <c r="J8" i="1"/>
  <c r="G9" i="1"/>
  <c r="H9" i="1"/>
  <c r="I9" i="1"/>
  <c r="J9" i="1"/>
  <c r="M9" i="1"/>
  <c r="G10" i="1"/>
  <c r="H10" i="1"/>
  <c r="I10" i="1"/>
  <c r="J10" i="1"/>
  <c r="G11" i="1"/>
  <c r="H11" i="1"/>
  <c r="I11" i="1"/>
  <c r="J11" i="1"/>
  <c r="G12" i="1"/>
  <c r="H12" i="1"/>
  <c r="I12" i="1"/>
  <c r="J12" i="1"/>
  <c r="M12" i="1"/>
  <c r="G13" i="1"/>
  <c r="H13" i="1"/>
  <c r="I13" i="1"/>
  <c r="J13" i="1"/>
  <c r="G14" i="1"/>
  <c r="H14" i="1"/>
  <c r="I14" i="1"/>
  <c r="J14" i="1"/>
  <c r="G15" i="1"/>
  <c r="H15" i="1"/>
  <c r="I15" i="1"/>
  <c r="J15" i="1"/>
  <c r="M15" i="1"/>
  <c r="G16" i="1"/>
  <c r="H16" i="1"/>
  <c r="I16" i="1"/>
  <c r="J16" i="1"/>
  <c r="G17" i="1"/>
  <c r="H17" i="1"/>
  <c r="I17" i="1"/>
  <c r="J17" i="1"/>
  <c r="G18" i="1"/>
  <c r="H18" i="1"/>
  <c r="I18" i="1"/>
  <c r="J18" i="1"/>
  <c r="G19" i="1"/>
  <c r="H19" i="1"/>
  <c r="I19" i="1"/>
  <c r="J19" i="1"/>
  <c r="G20" i="1"/>
  <c r="H20" i="1"/>
  <c r="I20" i="1"/>
  <c r="J20" i="1"/>
  <c r="M20" i="1"/>
  <c r="G21" i="1"/>
  <c r="H21" i="1"/>
  <c r="I21" i="1"/>
  <c r="J21" i="1"/>
  <c r="G22" i="1"/>
  <c r="H22" i="1"/>
  <c r="I22" i="1"/>
  <c r="J22" i="1"/>
  <c r="G23" i="1"/>
  <c r="H23" i="1"/>
  <c r="I23" i="1"/>
  <c r="J23" i="1"/>
  <c r="M23" i="1"/>
  <c r="G24" i="1"/>
  <c r="H24" i="1"/>
  <c r="I24" i="1"/>
  <c r="J24" i="1"/>
  <c r="G25" i="1"/>
  <c r="H25" i="1"/>
  <c r="I25" i="1"/>
  <c r="J25" i="1"/>
  <c r="G26" i="1"/>
  <c r="H26" i="1"/>
  <c r="I26" i="1"/>
  <c r="J26" i="1"/>
  <c r="G27" i="1"/>
  <c r="H27" i="1"/>
  <c r="I27" i="1"/>
  <c r="J27" i="1"/>
  <c r="G28" i="1"/>
  <c r="H28" i="1"/>
  <c r="I28" i="1"/>
  <c r="J28" i="1"/>
  <c r="G29" i="1"/>
  <c r="H29" i="1"/>
  <c r="I29" i="1"/>
  <c r="J29" i="1"/>
  <c r="G30" i="1"/>
  <c r="H30" i="1"/>
  <c r="I30" i="1"/>
  <c r="J30" i="1"/>
  <c r="G31" i="1"/>
  <c r="H31" i="1"/>
  <c r="I31" i="1"/>
  <c r="J31" i="1"/>
  <c r="G32" i="1"/>
  <c r="H32" i="1"/>
  <c r="I32" i="1"/>
  <c r="J32" i="1"/>
  <c r="G33" i="1"/>
  <c r="H33" i="1"/>
  <c r="I33" i="1"/>
  <c r="J33" i="1"/>
  <c r="G34" i="1"/>
  <c r="H34" i="1"/>
  <c r="I34" i="1"/>
  <c r="J34" i="1"/>
  <c r="G35" i="1"/>
  <c r="H35" i="1"/>
  <c r="I35" i="1"/>
  <c r="J35" i="1"/>
</calcChain>
</file>

<file path=xl/sharedStrings.xml><?xml version="1.0" encoding="utf-8"?>
<sst xmlns="http://schemas.openxmlformats.org/spreadsheetml/2006/main" count="179" uniqueCount="122">
  <si>
    <t>Product ID</t>
  </si>
  <si>
    <t>Product Name</t>
  </si>
  <si>
    <t>Brand Name</t>
  </si>
  <si>
    <t>Price ($)</t>
  </si>
  <si>
    <t>Quantity</t>
  </si>
  <si>
    <t>Category</t>
  </si>
  <si>
    <t>28-JAN-US</t>
  </si>
  <si>
    <t>15-FEB-US</t>
  </si>
  <si>
    <t>03-MAR-US</t>
  </si>
  <si>
    <t>11-APR-US</t>
  </si>
  <si>
    <t>22-MAY-US</t>
  </si>
  <si>
    <t>07-JUN-UK</t>
  </si>
  <si>
    <t>19-JUL-UK</t>
  </si>
  <si>
    <t>23-AUG-UK</t>
  </si>
  <si>
    <t>05-SEP-UK</t>
  </si>
  <si>
    <t>14-OCT-UK</t>
  </si>
  <si>
    <t>17-JUN-IN</t>
  </si>
  <si>
    <t>25-NOV-AU</t>
  </si>
  <si>
    <t>08-DEC-DE</t>
  </si>
  <si>
    <t>18-FEB-CA</t>
  </si>
  <si>
    <t>16-APR-ES</t>
  </si>
  <si>
    <t>20-AUG-CN</t>
  </si>
  <si>
    <t>27-JAN-IT</t>
  </si>
  <si>
    <t>01-MAR-UK</t>
  </si>
  <si>
    <t>14-AUG-US</t>
  </si>
  <si>
    <t>14-MAY-RU</t>
  </si>
  <si>
    <t>09-JAN-CA</t>
  </si>
  <si>
    <t>19-JUL-BR</t>
  </si>
  <si>
    <t>21-AUG-CA</t>
  </si>
  <si>
    <t>29-SEP-CA</t>
  </si>
  <si>
    <t>03-JUN-CA</t>
  </si>
  <si>
    <t>11-JUL-CA</t>
  </si>
  <si>
    <t>07-MAR-CA</t>
  </si>
  <si>
    <t>13-APR-CA</t>
  </si>
  <si>
    <t>24-MAY-CA</t>
  </si>
  <si>
    <t>02- DEC-CA</t>
  </si>
  <si>
    <t>09-JUL-FR</t>
  </si>
  <si>
    <t>Laptop</t>
  </si>
  <si>
    <t>Sneakers</t>
  </si>
  <si>
    <t>Coffee Maker</t>
  </si>
  <si>
    <t>Smartphone</t>
  </si>
  <si>
    <t>Backpack</t>
  </si>
  <si>
    <t>Headphone</t>
  </si>
  <si>
    <t>T-shirt</t>
  </si>
  <si>
    <t>Blender</t>
  </si>
  <si>
    <t>Tablet</t>
  </si>
  <si>
    <t>Hiking Boots</t>
  </si>
  <si>
    <t>Smart Watch</t>
  </si>
  <si>
    <t>Laptop Bag</t>
  </si>
  <si>
    <t>Sunglasses</t>
  </si>
  <si>
    <t>Camping Tent</t>
  </si>
  <si>
    <t>Camera</t>
  </si>
  <si>
    <t>Fitness Tracker</t>
  </si>
  <si>
    <t>Smart phone</t>
  </si>
  <si>
    <t xml:space="preserve">Dress </t>
  </si>
  <si>
    <t>Toaster</t>
  </si>
  <si>
    <t>Jeans</t>
  </si>
  <si>
    <t>Watch</t>
  </si>
  <si>
    <t>Dell</t>
  </si>
  <si>
    <t>Nike</t>
  </si>
  <si>
    <t>Keurig</t>
  </si>
  <si>
    <t>Samsung</t>
  </si>
  <si>
    <t>North Face</t>
  </si>
  <si>
    <t>Sony</t>
  </si>
  <si>
    <t>Adidas</t>
  </si>
  <si>
    <t>Ninja</t>
  </si>
  <si>
    <t>Apple</t>
  </si>
  <si>
    <t>Timberland</t>
  </si>
  <si>
    <t>HP</t>
  </si>
  <si>
    <t>Nespresso</t>
  </si>
  <si>
    <t>Fitbit</t>
  </si>
  <si>
    <t>Bose</t>
  </si>
  <si>
    <t>Samsonite</t>
  </si>
  <si>
    <t>Huawei</t>
  </si>
  <si>
    <t>Asus</t>
  </si>
  <si>
    <t>Oakley</t>
  </si>
  <si>
    <t>Coleman</t>
  </si>
  <si>
    <t>Nikon</t>
  </si>
  <si>
    <t>Panasonic</t>
  </si>
  <si>
    <t>Xiaomi</t>
  </si>
  <si>
    <t>Google</t>
  </si>
  <si>
    <t>Ray-Ban</t>
  </si>
  <si>
    <t>Vitamix</t>
  </si>
  <si>
    <t>Zara</t>
  </si>
  <si>
    <t>Hamilton</t>
  </si>
  <si>
    <t>Germin</t>
  </si>
  <si>
    <t>Levi's</t>
  </si>
  <si>
    <t>Casio</t>
  </si>
  <si>
    <t>Electronics</t>
  </si>
  <si>
    <t>Kitchen</t>
  </si>
  <si>
    <t>Outdoor</t>
  </si>
  <si>
    <t>Accessories</t>
  </si>
  <si>
    <t>Headphones</t>
  </si>
  <si>
    <t>Smartwatch</t>
  </si>
  <si>
    <t>Microwave</t>
  </si>
  <si>
    <t>Fashion</t>
  </si>
  <si>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</si>
  <si>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</si>
  <si>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</si>
  <si>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</si>
  <si>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</si>
  <si>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</si>
  <si>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</si>
  <si>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</si>
  <si>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</si>
  <si>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</si>
  <si>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</si>
  <si>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</si>
  <si>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</si>
  <si>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1)</t>
  </si>
  <si>
    <t>2)</t>
  </si>
  <si>
    <t>3)</t>
  </si>
  <si>
    <t>Price Range</t>
  </si>
  <si>
    <t>4)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</si>
  <si>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</si>
  <si>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</si>
  <si>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</si>
  <si>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</si>
  <si>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5)</t>
  </si>
  <si>
    <t>Day</t>
  </si>
  <si>
    <t>Country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</si>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</sst>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2"/>
    </font>
    <font>
      <sz val="11"/>
      <color theme="1"/>
      <name val="Aptos Display"/>
      <family val="2"/>
      <scheme val="major"/>
    </font>
    <font>
      <b/>
      <sz val="11"/>
      <color theme="1" tint="4.9989318521683403E-2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rial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5E3D45-FFCD-4CEA-BBE1-BD33FBFC13F6}" name="Table1" displayName="Table1" ref="A1:J35" totalsRowShown="0" headerRowDxfId="6">
  <autoFilter ref="A1:J35" xr:uid="{065E3D45-FFCD-4CEA-BBE1-BD33FBFC13F6}"/>
  <tableColumns count="10">
    <tableColumn id="1" xr3:uid="{3267C5D0-554C-4C52-99AB-DB40820B25CE}" name="Product ID" dataDxfId="5"/>
    <tableColumn id="2" xr3:uid="{1F578EC5-0301-49B9-9146-093DF742527A}" name="Product Name" dataDxfId="4"/>
    <tableColumn id="3" xr3:uid="{CBDA2F77-3077-4117-B73D-01D2C37A6CA4}" name="Brand Name"/>
    <tableColumn id="4" xr3:uid="{E39200F0-A33C-4D77-A805-8FEA0E70C7CE}" name="Price ($)"/>
    <tableColumn id="5" xr3:uid="{F61F756C-6315-4A24-8C2A-05FF9B803CCA}" name="Quantity"/>
    <tableColumn id="6" xr3:uid="{6B823077-F036-44FB-BE87-5031EE6BE14C}" name="Category"/>
    <tableColumn id="7" xr3:uid="{A4C1BE1C-2CA3-4F48-809F-2EF1A3D6A451}" name="Price Range" dataDxfId="3">
      <calculatedColumnFormula>IF(D2&gt;=500,"High Price","Standard Price")</calculatedColumnFormula>
    </tableColumn>
    <tableColumn id="8" xr3:uid="{57417807-0C10-4472-BD75-76C5A1A41F20}" name="Day" dataDxfId="2">
      <calculatedColumnFormula>LEFT(A2,2)</calculatedColumnFormula>
    </tableColumn>
    <tableColumn id="9" xr3:uid="{764CA62C-F656-48C5-AD7F-A1D9DD8C5C17}" name="Country" dataDxfId="1">
      <calculatedColumnFormula>RIGHT(A2,2)</calculatedColumnFormula>
    </tableColumn>
    <tableColumn id="10" xr3:uid="{3D456628-59D6-4F9B-A491-410DE3329D3E}" name="Month" dataDxfId="0">
      <calculatedColumnFormula>MID(A2,4,3)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78487-DD23-478D-B766-3D78D98435C9}">
  <dimension ref="A1:W35"/>
  <sheetViews>
    <sheetView tabSelected="1" zoomScale="46" zoomScaleNormal="46" workbookViewId="0">
      <selection activeCell="I20" sqref="I20"/>
    </sheetView>
  </sheetViews>
  <sheetFormatPr defaultRowHeight="14.5" x14ac:dyDescent="0.35"/>
  <cols>
    <col min="1" max="1" width="14.54296875" customWidth="1"/>
    <col min="2" max="2" width="18.08984375" customWidth="1"/>
    <col min="3" max="3" width="16.36328125" customWidth="1"/>
    <col min="4" max="4" width="13.08984375" customWidth="1"/>
    <col min="5" max="5" width="14.26953125" customWidth="1"/>
    <col min="6" max="6" width="13.81640625" customWidth="1"/>
    <col min="7" max="7" width="19" customWidth="1"/>
    <col min="8" max="8" width="8.81640625" customWidth="1"/>
    <col min="9" max="9" width="14.08984375" customWidth="1"/>
    <col min="10" max="10" width="15" customWidth="1"/>
  </cols>
  <sheetData>
    <row r="1" spans="1:15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112</v>
      </c>
      <c r="H1" s="4" t="s">
        <v>119</v>
      </c>
      <c r="I1" s="4" t="s">
        <v>120</v>
      </c>
      <c r="J1" s="4" t="s">
        <v>121</v>
      </c>
    </row>
    <row r="2" spans="1:15" ht="15.5" x14ac:dyDescent="0.35">
      <c r="A2" s="2" t="s">
        <v>6</v>
      </c>
      <c r="B2" s="3" t="s">
        <v>37</v>
      </c>
      <c r="C2" t="s">
        <v>58</v>
      </c>
      <c r="D2">
        <v>1000</v>
      </c>
      <c r="E2">
        <v>30</v>
      </c>
      <c r="F2" t="s">
        <v>88</v>
      </c>
      <c r="G2" t="str">
        <f t="shared" ref="G2:G35" si="0">IF(D2&gt;=500,"High Price","Standard Price")</f>
        <v>High Price</v>
      </c>
      <c r="H2" s="2" t="str">
        <f t="shared" ref="H2:H35" si="1">LEFT(A2,2)</f>
        <v>28</v>
      </c>
      <c r="I2" s="2" t="str">
        <f t="shared" ref="I2:I35" si="2">RIGHT(A2,2)</f>
        <v>US</v>
      </c>
      <c r="J2" s="2" t="str">
        <f t="shared" ref="J2:J35" si="3">MID(A2,4,3)</f>
        <v>JAN</v>
      </c>
      <c r="K2" s="9" t="s">
        <v>109</v>
      </c>
      <c r="L2" s="8" t="s">
        <v>98</v>
      </c>
      <c r="M2" s="6"/>
      <c r="N2" s="6"/>
      <c r="O2" s="6"/>
    </row>
    <row r="3" spans="1:15" x14ac:dyDescent="0.35">
      <c r="A3" s="2" t="s">
        <v>7</v>
      </c>
      <c r="B3" s="3" t="s">
        <v>38</v>
      </c>
      <c r="C3" t="s">
        <v>59</v>
      </c>
      <c r="D3">
        <v>80</v>
      </c>
      <c r="E3">
        <v>15</v>
      </c>
      <c r="F3" t="s">
        <v>95</v>
      </c>
      <c r="G3" t="str">
        <f t="shared" si="0"/>
        <v>Standard Price</v>
      </c>
      <c r="H3" s="2" t="str">
        <f t="shared" si="1"/>
        <v>15</v>
      </c>
      <c r="I3" s="2" t="str">
        <f t="shared" si="2"/>
        <v>US</v>
      </c>
      <c r="J3" s="2" t="str">
        <f t="shared" si="3"/>
        <v>FEB</v>
      </c>
      <c r="M3">
        <f>SUM(Table1[Price ($)])</f>
        <v>10100</v>
      </c>
    </row>
    <row r="4" spans="1:15" x14ac:dyDescent="0.35">
      <c r="A4" s="2" t="s">
        <v>8</v>
      </c>
      <c r="B4" s="3" t="s">
        <v>39</v>
      </c>
      <c r="C4" t="s">
        <v>60</v>
      </c>
      <c r="D4">
        <v>130</v>
      </c>
      <c r="E4">
        <v>40</v>
      </c>
      <c r="F4" t="s">
        <v>89</v>
      </c>
      <c r="G4" t="str">
        <f t="shared" si="0"/>
        <v>Standard Price</v>
      </c>
      <c r="H4" s="2" t="str">
        <f t="shared" si="1"/>
        <v>03</v>
      </c>
      <c r="I4" s="2" t="str">
        <f t="shared" si="2"/>
        <v>US</v>
      </c>
      <c r="J4" s="2" t="str">
        <f t="shared" si="3"/>
        <v>MAR</v>
      </c>
    </row>
    <row r="5" spans="1:15" ht="15.5" x14ac:dyDescent="0.35">
      <c r="A5" s="2" t="s">
        <v>9</v>
      </c>
      <c r="B5" s="3" t="s">
        <v>40</v>
      </c>
      <c r="C5" t="s">
        <v>61</v>
      </c>
      <c r="D5">
        <v>900</v>
      </c>
      <c r="E5">
        <v>25</v>
      </c>
      <c r="F5" t="s">
        <v>88</v>
      </c>
      <c r="G5" t="str">
        <f t="shared" si="0"/>
        <v>High Price</v>
      </c>
      <c r="H5" s="2" t="str">
        <f t="shared" si="1"/>
        <v>11</v>
      </c>
      <c r="I5" s="2" t="str">
        <f t="shared" si="2"/>
        <v>US</v>
      </c>
      <c r="J5" s="2" t="str">
        <f t="shared" si="3"/>
        <v>APR</v>
      </c>
      <c r="L5" s="8" t="s">
        <v>99</v>
      </c>
      <c r="M5" s="6"/>
      <c r="N5" s="6"/>
      <c r="O5" s="6"/>
    </row>
    <row r="6" spans="1:15" x14ac:dyDescent="0.35">
      <c r="A6" s="1" t="s">
        <v>10</v>
      </c>
      <c r="B6" s="3" t="s">
        <v>41</v>
      </c>
      <c r="C6" t="s">
        <v>62</v>
      </c>
      <c r="D6">
        <v>70</v>
      </c>
      <c r="E6">
        <v>20</v>
      </c>
      <c r="F6" t="s">
        <v>90</v>
      </c>
      <c r="G6" t="str">
        <f t="shared" si="0"/>
        <v>Standard Price</v>
      </c>
      <c r="H6" t="str">
        <f t="shared" si="1"/>
        <v>22</v>
      </c>
      <c r="I6" t="str">
        <f t="shared" si="2"/>
        <v>US</v>
      </c>
      <c r="J6" t="str">
        <f t="shared" si="3"/>
        <v>MAY</v>
      </c>
      <c r="M6">
        <f>COUNT(Table1[Price ($)])</f>
        <v>34</v>
      </c>
    </row>
    <row r="7" spans="1:15" x14ac:dyDescent="0.35">
      <c r="A7" s="2" t="s">
        <v>11</v>
      </c>
      <c r="B7" s="3" t="s">
        <v>92</v>
      </c>
      <c r="C7" t="s">
        <v>63</v>
      </c>
      <c r="D7">
        <v>200</v>
      </c>
      <c r="E7">
        <v>45</v>
      </c>
      <c r="F7" t="s">
        <v>88</v>
      </c>
      <c r="G7" t="str">
        <f t="shared" si="0"/>
        <v>Standard Price</v>
      </c>
      <c r="H7" s="2" t="str">
        <f t="shared" si="1"/>
        <v>07</v>
      </c>
      <c r="I7" s="2" t="str">
        <f t="shared" si="2"/>
        <v>UK</v>
      </c>
      <c r="J7" s="2" t="str">
        <f t="shared" si="3"/>
        <v>JUN</v>
      </c>
    </row>
    <row r="8" spans="1:15" ht="15.5" x14ac:dyDescent="0.35">
      <c r="A8" s="2" t="s">
        <v>12</v>
      </c>
      <c r="B8" s="3" t="s">
        <v>43</v>
      </c>
      <c r="C8" t="s">
        <v>64</v>
      </c>
      <c r="D8">
        <v>30</v>
      </c>
      <c r="E8">
        <v>5</v>
      </c>
      <c r="F8" t="s">
        <v>95</v>
      </c>
      <c r="G8" t="str">
        <f t="shared" si="0"/>
        <v>Standard Price</v>
      </c>
      <c r="H8" s="2" t="str">
        <f t="shared" si="1"/>
        <v>19</v>
      </c>
      <c r="I8" s="2" t="str">
        <f t="shared" si="2"/>
        <v>UK</v>
      </c>
      <c r="J8" s="2" t="str">
        <f t="shared" si="3"/>
        <v>JUL</v>
      </c>
      <c r="L8" s="8" t="s">
        <v>100</v>
      </c>
      <c r="M8" s="6"/>
      <c r="N8" s="6"/>
      <c r="O8" s="6"/>
    </row>
    <row r="9" spans="1:15" x14ac:dyDescent="0.35">
      <c r="A9" s="2" t="s">
        <v>13</v>
      </c>
      <c r="B9" s="3" t="s">
        <v>44</v>
      </c>
      <c r="C9" t="s">
        <v>65</v>
      </c>
      <c r="D9">
        <v>90</v>
      </c>
      <c r="E9">
        <v>35</v>
      </c>
      <c r="F9" t="s">
        <v>89</v>
      </c>
      <c r="G9" t="str">
        <f t="shared" si="0"/>
        <v>Standard Price</v>
      </c>
      <c r="H9" s="2" t="str">
        <f t="shared" si="1"/>
        <v>23</v>
      </c>
      <c r="I9" s="2" t="str">
        <f t="shared" si="2"/>
        <v>UK</v>
      </c>
      <c r="J9" s="2" t="str">
        <f t="shared" si="3"/>
        <v>AUG</v>
      </c>
      <c r="M9">
        <f>AVERAGE(Table1[Price ($)])</f>
        <v>297.05882352941177</v>
      </c>
    </row>
    <row r="10" spans="1:15" x14ac:dyDescent="0.35">
      <c r="A10" s="2" t="s">
        <v>14</v>
      </c>
      <c r="B10" s="3" t="s">
        <v>45</v>
      </c>
      <c r="C10" t="s">
        <v>66</v>
      </c>
      <c r="D10">
        <v>500</v>
      </c>
      <c r="E10">
        <v>50</v>
      </c>
      <c r="F10" t="s">
        <v>88</v>
      </c>
      <c r="G10" t="str">
        <f t="shared" si="0"/>
        <v>High Price</v>
      </c>
      <c r="H10" s="2" t="str">
        <f t="shared" si="1"/>
        <v>05</v>
      </c>
      <c r="I10" s="2" t="str">
        <f t="shared" si="2"/>
        <v>UK</v>
      </c>
      <c r="J10" s="2" t="str">
        <f t="shared" si="3"/>
        <v>SEP</v>
      </c>
    </row>
    <row r="11" spans="1:15" ht="15.5" x14ac:dyDescent="0.35">
      <c r="A11" s="2" t="s">
        <v>15</v>
      </c>
      <c r="B11" s="3" t="s">
        <v>46</v>
      </c>
      <c r="C11" t="s">
        <v>67</v>
      </c>
      <c r="D11">
        <v>130</v>
      </c>
      <c r="E11">
        <v>10</v>
      </c>
      <c r="F11" t="s">
        <v>90</v>
      </c>
      <c r="G11" t="str">
        <f t="shared" si="0"/>
        <v>Standard Price</v>
      </c>
      <c r="H11" s="2" t="str">
        <f t="shared" si="1"/>
        <v>14</v>
      </c>
      <c r="I11" s="2" t="str">
        <f t="shared" si="2"/>
        <v>UK</v>
      </c>
      <c r="J11" s="2" t="str">
        <f t="shared" si="3"/>
        <v>OCT</v>
      </c>
      <c r="K11" s="9" t="s">
        <v>110</v>
      </c>
      <c r="L11" s="8" t="s">
        <v>102</v>
      </c>
      <c r="M11" s="6"/>
      <c r="N11" s="6"/>
      <c r="O11" s="6"/>
    </row>
    <row r="12" spans="1:15" ht="15.5" x14ac:dyDescent="0.35">
      <c r="A12" s="2" t="s">
        <v>16</v>
      </c>
      <c r="B12" s="3" t="s">
        <v>37</v>
      </c>
      <c r="C12" t="s">
        <v>68</v>
      </c>
      <c r="D12">
        <v>950</v>
      </c>
      <c r="E12">
        <v>25</v>
      </c>
      <c r="F12" t="s">
        <v>88</v>
      </c>
      <c r="G12" t="str">
        <f t="shared" si="0"/>
        <v>High Price</v>
      </c>
      <c r="H12" s="2" t="str">
        <f t="shared" si="1"/>
        <v>17</v>
      </c>
      <c r="I12" s="2" t="str">
        <f t="shared" si="2"/>
        <v>IN</v>
      </c>
      <c r="J12" s="2" t="str">
        <f t="shared" si="3"/>
        <v>JUN</v>
      </c>
      <c r="L12" s="8"/>
      <c r="M12" s="6">
        <f>MIN(Table1[Price ($)])</f>
        <v>30</v>
      </c>
      <c r="N12" s="6"/>
      <c r="O12" s="6"/>
    </row>
    <row r="13" spans="1:15" x14ac:dyDescent="0.35">
      <c r="A13" s="2" t="s">
        <v>17</v>
      </c>
      <c r="B13" s="3" t="s">
        <v>38</v>
      </c>
      <c r="C13" t="s">
        <v>64</v>
      </c>
      <c r="D13">
        <v>90</v>
      </c>
      <c r="E13">
        <v>40</v>
      </c>
      <c r="F13" t="s">
        <v>95</v>
      </c>
      <c r="G13" t="str">
        <f t="shared" si="0"/>
        <v>Standard Price</v>
      </c>
      <c r="H13" s="2" t="str">
        <f t="shared" si="1"/>
        <v>25</v>
      </c>
      <c r="I13" s="2" t="str">
        <f t="shared" si="2"/>
        <v>AU</v>
      </c>
      <c r="J13" s="2" t="str">
        <f t="shared" si="3"/>
        <v>NOV</v>
      </c>
    </row>
    <row r="14" spans="1:15" ht="15.5" x14ac:dyDescent="0.35">
      <c r="A14" s="2" t="s">
        <v>18</v>
      </c>
      <c r="B14" s="3" t="s">
        <v>39</v>
      </c>
      <c r="C14" t="s">
        <v>69</v>
      </c>
      <c r="D14">
        <v>120</v>
      </c>
      <c r="E14">
        <v>35</v>
      </c>
      <c r="F14" t="s">
        <v>89</v>
      </c>
      <c r="G14" t="str">
        <f t="shared" si="0"/>
        <v>Standard Price</v>
      </c>
      <c r="H14" s="2" t="str">
        <f t="shared" si="1"/>
        <v>08</v>
      </c>
      <c r="I14" s="2" t="str">
        <f t="shared" si="2"/>
        <v>DE</v>
      </c>
      <c r="J14" s="2" t="str">
        <f t="shared" si="3"/>
        <v>DEC</v>
      </c>
      <c r="L14" s="8" t="s">
        <v>103</v>
      </c>
      <c r="M14" s="6"/>
      <c r="N14" s="6"/>
      <c r="O14" s="6"/>
    </row>
    <row r="15" spans="1:15" x14ac:dyDescent="0.35">
      <c r="A15" s="2" t="s">
        <v>19</v>
      </c>
      <c r="B15" s="3" t="s">
        <v>93</v>
      </c>
      <c r="C15" t="s">
        <v>70</v>
      </c>
      <c r="D15">
        <v>150</v>
      </c>
      <c r="E15">
        <v>15</v>
      </c>
      <c r="F15" t="s">
        <v>88</v>
      </c>
      <c r="G15" t="str">
        <f t="shared" si="0"/>
        <v>Standard Price</v>
      </c>
      <c r="H15" s="2" t="str">
        <f t="shared" si="1"/>
        <v>18</v>
      </c>
      <c r="I15" s="2" t="str">
        <f t="shared" si="2"/>
        <v>CA</v>
      </c>
      <c r="J15" s="2" t="str">
        <f t="shared" si="3"/>
        <v>FEB</v>
      </c>
      <c r="M15">
        <f>MAX(Table1[Price ($)])</f>
        <v>1000</v>
      </c>
    </row>
    <row r="16" spans="1:15" x14ac:dyDescent="0.35">
      <c r="A16" s="2" t="s">
        <v>20</v>
      </c>
      <c r="B16" s="3" t="s">
        <v>42</v>
      </c>
      <c r="C16" t="s">
        <v>71</v>
      </c>
      <c r="D16">
        <v>250</v>
      </c>
      <c r="E16">
        <v>20</v>
      </c>
      <c r="F16" t="s">
        <v>88</v>
      </c>
      <c r="G16" t="str">
        <f t="shared" si="0"/>
        <v>Standard Price</v>
      </c>
      <c r="H16" s="2" t="str">
        <f t="shared" si="1"/>
        <v>16</v>
      </c>
      <c r="I16" s="2" t="str">
        <f t="shared" si="2"/>
        <v>ES</v>
      </c>
      <c r="J16" s="2" t="str">
        <f t="shared" si="3"/>
        <v>APR</v>
      </c>
    </row>
    <row r="17" spans="1:23" ht="15.5" x14ac:dyDescent="0.35">
      <c r="A17" s="2" t="s">
        <v>28</v>
      </c>
      <c r="B17" s="3" t="s">
        <v>48</v>
      </c>
      <c r="C17" t="s">
        <v>72</v>
      </c>
      <c r="D17">
        <v>50</v>
      </c>
      <c r="E17">
        <v>35</v>
      </c>
      <c r="F17" t="s">
        <v>91</v>
      </c>
      <c r="G17" t="str">
        <f t="shared" si="0"/>
        <v>Standard Price</v>
      </c>
      <c r="H17" s="2" t="str">
        <f t="shared" si="1"/>
        <v>21</v>
      </c>
      <c r="I17" s="2" t="str">
        <f t="shared" si="2"/>
        <v>CA</v>
      </c>
      <c r="J17" s="2" t="str">
        <f t="shared" si="3"/>
        <v>AUG</v>
      </c>
      <c r="K17" s="9" t="s">
        <v>111</v>
      </c>
      <c r="L17" s="8" t="s">
        <v>105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 spans="1:23" x14ac:dyDescent="0.35">
      <c r="A18" s="2" t="s">
        <v>21</v>
      </c>
      <c r="B18" s="3" t="s">
        <v>47</v>
      </c>
      <c r="C18" t="s">
        <v>73</v>
      </c>
      <c r="D18">
        <v>160</v>
      </c>
      <c r="E18">
        <v>15</v>
      </c>
      <c r="F18" t="s">
        <v>88</v>
      </c>
      <c r="G18" t="str">
        <f t="shared" si="0"/>
        <v>Standard Price</v>
      </c>
      <c r="H18" s="2" t="str">
        <f t="shared" si="1"/>
        <v>20</v>
      </c>
      <c r="I18" s="2" t="str">
        <f t="shared" si="2"/>
        <v>CN</v>
      </c>
      <c r="J18" s="2" t="str">
        <f t="shared" si="3"/>
        <v>AUG</v>
      </c>
    </row>
    <row r="19" spans="1:23" ht="15.5" x14ac:dyDescent="0.35">
      <c r="A19" s="2" t="s">
        <v>22</v>
      </c>
      <c r="B19" s="3" t="s">
        <v>37</v>
      </c>
      <c r="C19" t="s">
        <v>74</v>
      </c>
      <c r="D19">
        <v>980</v>
      </c>
      <c r="E19">
        <v>10</v>
      </c>
      <c r="F19" t="s">
        <v>88</v>
      </c>
      <c r="G19" t="str">
        <f t="shared" si="0"/>
        <v>High Price</v>
      </c>
      <c r="H19" s="2" t="str">
        <f t="shared" si="1"/>
        <v>27</v>
      </c>
      <c r="I19" s="2" t="str">
        <f t="shared" si="2"/>
        <v>IT</v>
      </c>
      <c r="J19" s="2" t="str">
        <f t="shared" si="3"/>
        <v>JAN</v>
      </c>
      <c r="K19" s="9" t="s">
        <v>113</v>
      </c>
      <c r="L19" s="8" t="s">
        <v>107</v>
      </c>
      <c r="M19" s="6"/>
      <c r="N19" s="6"/>
      <c r="O19" s="6"/>
      <c r="P19" s="6"/>
      <c r="Q19" s="6"/>
    </row>
    <row r="20" spans="1:23" x14ac:dyDescent="0.35">
      <c r="A20" s="2" t="s">
        <v>23</v>
      </c>
      <c r="B20" s="3" t="s">
        <v>49</v>
      </c>
      <c r="C20" t="s">
        <v>75</v>
      </c>
      <c r="D20">
        <v>150</v>
      </c>
      <c r="E20">
        <v>15</v>
      </c>
      <c r="F20" t="s">
        <v>95</v>
      </c>
      <c r="G20" t="str">
        <f t="shared" si="0"/>
        <v>Standard Price</v>
      </c>
      <c r="H20" s="2" t="str">
        <f t="shared" si="1"/>
        <v>01</v>
      </c>
      <c r="I20" s="2" t="str">
        <f t="shared" si="2"/>
        <v>UK</v>
      </c>
      <c r="J20" s="2" t="str">
        <f t="shared" si="3"/>
        <v>MAR</v>
      </c>
      <c r="M20">
        <f>SUMIF(Table1[Category],F24,Table1[Price ($)])</f>
        <v>8050</v>
      </c>
    </row>
    <row r="21" spans="1:23" x14ac:dyDescent="0.35">
      <c r="A21" s="2" t="s">
        <v>24</v>
      </c>
      <c r="B21" s="3" t="s">
        <v>50</v>
      </c>
      <c r="C21" t="s">
        <v>76</v>
      </c>
      <c r="D21">
        <v>200</v>
      </c>
      <c r="E21">
        <v>10</v>
      </c>
      <c r="F21" t="s">
        <v>90</v>
      </c>
      <c r="G21" t="str">
        <f t="shared" si="0"/>
        <v>Standard Price</v>
      </c>
      <c r="H21" s="2" t="str">
        <f t="shared" si="1"/>
        <v>14</v>
      </c>
      <c r="I21" s="2" t="str">
        <f t="shared" si="2"/>
        <v>US</v>
      </c>
      <c r="J21" s="2" t="str">
        <f t="shared" si="3"/>
        <v>AUG</v>
      </c>
    </row>
    <row r="22" spans="1:23" ht="14" customHeight="1" x14ac:dyDescent="0.35">
      <c r="A22" s="2" t="s">
        <v>25</v>
      </c>
      <c r="B22" s="3" t="s">
        <v>51</v>
      </c>
      <c r="C22" t="s">
        <v>77</v>
      </c>
      <c r="D22">
        <v>700</v>
      </c>
      <c r="E22">
        <v>50</v>
      </c>
      <c r="F22" t="s">
        <v>88</v>
      </c>
      <c r="G22" t="str">
        <f t="shared" si="0"/>
        <v>High Price</v>
      </c>
      <c r="H22" s="2" t="str">
        <f t="shared" si="1"/>
        <v>14</v>
      </c>
      <c r="I22" s="2" t="str">
        <f t="shared" si="2"/>
        <v>RU</v>
      </c>
      <c r="J22" s="2" t="str">
        <f t="shared" si="3"/>
        <v>MAY</v>
      </c>
      <c r="L22" s="8" t="s">
        <v>108</v>
      </c>
      <c r="M22" s="6"/>
      <c r="N22" s="6"/>
      <c r="O22" s="6"/>
      <c r="P22" s="6"/>
      <c r="Q22" s="6"/>
    </row>
    <row r="23" spans="1:23" x14ac:dyDescent="0.35">
      <c r="A23" s="2" t="s">
        <v>26</v>
      </c>
      <c r="B23" s="3" t="s">
        <v>94</v>
      </c>
      <c r="C23" t="s">
        <v>78</v>
      </c>
      <c r="D23">
        <v>80</v>
      </c>
      <c r="E23">
        <v>20</v>
      </c>
      <c r="F23" t="s">
        <v>89</v>
      </c>
      <c r="G23" t="str">
        <f t="shared" si="0"/>
        <v>Standard Price</v>
      </c>
      <c r="H23" s="2" t="str">
        <f t="shared" si="1"/>
        <v>09</v>
      </c>
      <c r="I23" s="2" t="str">
        <f t="shared" si="2"/>
        <v>CA</v>
      </c>
      <c r="J23" s="2" t="str">
        <f t="shared" si="3"/>
        <v>JAN</v>
      </c>
      <c r="M23">
        <f>COUNTIF(Table1[Price ($)],"&lt;100")</f>
        <v>11</v>
      </c>
    </row>
    <row r="24" spans="1:23" x14ac:dyDescent="0.35">
      <c r="A24" s="2" t="s">
        <v>27</v>
      </c>
      <c r="B24" s="3" t="s">
        <v>52</v>
      </c>
      <c r="C24" t="s">
        <v>79</v>
      </c>
      <c r="D24">
        <v>150</v>
      </c>
      <c r="E24">
        <v>30</v>
      </c>
      <c r="F24" t="s">
        <v>88</v>
      </c>
      <c r="G24" t="str">
        <f t="shared" si="0"/>
        <v>Standard Price</v>
      </c>
      <c r="H24" s="2" t="str">
        <f t="shared" si="1"/>
        <v>19</v>
      </c>
      <c r="I24" s="2" t="str">
        <f t="shared" si="2"/>
        <v>BR</v>
      </c>
      <c r="J24" s="2" t="str">
        <f t="shared" si="3"/>
        <v>JUL</v>
      </c>
    </row>
    <row r="25" spans="1:23" ht="15.5" x14ac:dyDescent="0.35">
      <c r="A25" s="2" t="s">
        <v>28</v>
      </c>
      <c r="B25" s="3" t="s">
        <v>48</v>
      </c>
      <c r="C25" t="s">
        <v>72</v>
      </c>
      <c r="D25">
        <v>50</v>
      </c>
      <c r="E25">
        <v>35</v>
      </c>
      <c r="F25" t="s">
        <v>91</v>
      </c>
      <c r="G25" t="str">
        <f t="shared" si="0"/>
        <v>Standard Price</v>
      </c>
      <c r="H25" s="2" t="str">
        <f t="shared" si="1"/>
        <v>21</v>
      </c>
      <c r="I25" s="2" t="str">
        <f t="shared" si="2"/>
        <v>CA</v>
      </c>
      <c r="J25" s="2" t="str">
        <f t="shared" si="3"/>
        <v>AUG</v>
      </c>
      <c r="K25" s="9" t="s">
        <v>118</v>
      </c>
      <c r="L25" s="8" t="s">
        <v>115</v>
      </c>
      <c r="M25" s="6"/>
      <c r="N25" s="6"/>
      <c r="O25" s="6"/>
      <c r="P25" s="6"/>
      <c r="Q25" s="6"/>
      <c r="R25" s="6"/>
      <c r="S25" s="6"/>
      <c r="T25" s="6"/>
    </row>
    <row r="26" spans="1:23" x14ac:dyDescent="0.35">
      <c r="A26" s="2" t="s">
        <v>29</v>
      </c>
      <c r="B26" s="3" t="s">
        <v>53</v>
      </c>
      <c r="C26" t="s">
        <v>80</v>
      </c>
      <c r="D26">
        <v>800</v>
      </c>
      <c r="E26">
        <v>45</v>
      </c>
      <c r="F26" t="s">
        <v>88</v>
      </c>
      <c r="G26" t="str">
        <f t="shared" si="0"/>
        <v>High Price</v>
      </c>
      <c r="H26" s="2" t="str">
        <f t="shared" si="1"/>
        <v>29</v>
      </c>
      <c r="I26" s="2" t="str">
        <f t="shared" si="2"/>
        <v>CA</v>
      </c>
      <c r="J26" s="2" t="str">
        <f t="shared" si="3"/>
        <v>SEP</v>
      </c>
    </row>
    <row r="27" spans="1:23" ht="15.5" x14ac:dyDescent="0.35">
      <c r="A27" s="2" t="s">
        <v>30</v>
      </c>
      <c r="B27" s="3" t="s">
        <v>49</v>
      </c>
      <c r="C27" t="s">
        <v>81</v>
      </c>
      <c r="D27">
        <v>130</v>
      </c>
      <c r="E27">
        <v>25</v>
      </c>
      <c r="F27" t="s">
        <v>95</v>
      </c>
      <c r="G27" t="str">
        <f t="shared" si="0"/>
        <v>Standard Price</v>
      </c>
      <c r="H27" s="2" t="str">
        <f t="shared" si="1"/>
        <v>03</v>
      </c>
      <c r="I27" s="2" t="str">
        <f t="shared" si="2"/>
        <v>CA</v>
      </c>
      <c r="J27" s="2" t="str">
        <f t="shared" si="3"/>
        <v>JUN</v>
      </c>
      <c r="L27" s="8" t="s">
        <v>116</v>
      </c>
      <c r="M27" s="6"/>
      <c r="N27" s="6"/>
      <c r="O27" s="6"/>
      <c r="P27" s="6"/>
      <c r="Q27" s="6"/>
      <c r="R27" s="6"/>
      <c r="S27" s="6"/>
      <c r="T27" s="6"/>
    </row>
    <row r="28" spans="1:23" x14ac:dyDescent="0.35">
      <c r="A28" s="2" t="s">
        <v>31</v>
      </c>
      <c r="B28" s="3" t="s">
        <v>44</v>
      </c>
      <c r="C28" t="s">
        <v>82</v>
      </c>
      <c r="D28">
        <v>400</v>
      </c>
      <c r="E28">
        <v>40</v>
      </c>
      <c r="F28" t="s">
        <v>89</v>
      </c>
      <c r="G28" t="str">
        <f t="shared" si="0"/>
        <v>Standard Price</v>
      </c>
      <c r="H28" s="2" t="str">
        <f t="shared" si="1"/>
        <v>11</v>
      </c>
      <c r="I28" s="2" t="str">
        <f t="shared" si="2"/>
        <v>CA</v>
      </c>
      <c r="J28" s="2" t="str">
        <f t="shared" si="3"/>
        <v>JUL</v>
      </c>
    </row>
    <row r="29" spans="1:23" ht="15.5" x14ac:dyDescent="0.35">
      <c r="A29" s="2" t="s">
        <v>20</v>
      </c>
      <c r="B29" s="3" t="s">
        <v>42</v>
      </c>
      <c r="C29" t="s">
        <v>71</v>
      </c>
      <c r="D29">
        <v>230</v>
      </c>
      <c r="E29">
        <v>20</v>
      </c>
      <c r="F29" t="s">
        <v>88</v>
      </c>
      <c r="G29" t="str">
        <f t="shared" si="0"/>
        <v>Standard Price</v>
      </c>
      <c r="H29" s="2" t="str">
        <f t="shared" si="1"/>
        <v>16</v>
      </c>
      <c r="I29" s="2" t="str">
        <f t="shared" si="2"/>
        <v>ES</v>
      </c>
      <c r="J29" s="2" t="str">
        <f t="shared" si="3"/>
        <v>APR</v>
      </c>
      <c r="L29" s="8" t="s">
        <v>117</v>
      </c>
      <c r="M29" s="6"/>
      <c r="N29" s="6"/>
      <c r="O29" s="6"/>
      <c r="P29" s="6"/>
      <c r="Q29" s="6"/>
      <c r="R29" s="6"/>
      <c r="S29" s="6"/>
      <c r="T29" s="6"/>
    </row>
    <row r="30" spans="1:23" x14ac:dyDescent="0.35">
      <c r="A30" s="2" t="s">
        <v>32</v>
      </c>
      <c r="B30" s="3" t="s">
        <v>54</v>
      </c>
      <c r="C30" t="s">
        <v>83</v>
      </c>
      <c r="D30">
        <v>60</v>
      </c>
      <c r="E30">
        <v>30</v>
      </c>
      <c r="F30" t="s">
        <v>95</v>
      </c>
      <c r="G30" t="str">
        <f t="shared" si="0"/>
        <v>Standard Price</v>
      </c>
      <c r="H30" s="2" t="str">
        <f t="shared" si="1"/>
        <v>07</v>
      </c>
      <c r="I30" s="2" t="str">
        <f t="shared" si="2"/>
        <v>CA</v>
      </c>
      <c r="J30" s="2" t="str">
        <f t="shared" si="3"/>
        <v>MAR</v>
      </c>
    </row>
    <row r="31" spans="1:23" x14ac:dyDescent="0.35">
      <c r="A31" s="2" t="s">
        <v>33</v>
      </c>
      <c r="B31" s="3" t="s">
        <v>55</v>
      </c>
      <c r="C31" t="s">
        <v>84</v>
      </c>
      <c r="D31">
        <v>40</v>
      </c>
      <c r="E31">
        <v>10</v>
      </c>
      <c r="F31" t="s">
        <v>89</v>
      </c>
      <c r="G31" t="str">
        <f t="shared" si="0"/>
        <v>Standard Price</v>
      </c>
      <c r="H31" s="2" t="str">
        <f t="shared" si="1"/>
        <v>13</v>
      </c>
      <c r="I31" s="2" t="str">
        <f t="shared" si="2"/>
        <v>CA</v>
      </c>
      <c r="J31" s="2" t="str">
        <f t="shared" si="3"/>
        <v>APR</v>
      </c>
    </row>
    <row r="32" spans="1:23" x14ac:dyDescent="0.35">
      <c r="A32" s="2" t="s">
        <v>34</v>
      </c>
      <c r="B32" s="3" t="s">
        <v>52</v>
      </c>
      <c r="C32" t="s">
        <v>85</v>
      </c>
      <c r="D32">
        <v>130</v>
      </c>
      <c r="E32">
        <v>5</v>
      </c>
      <c r="F32" t="s">
        <v>88</v>
      </c>
      <c r="G32" t="str">
        <f t="shared" si="0"/>
        <v>Standard Price</v>
      </c>
      <c r="H32" s="2" t="str">
        <f t="shared" si="1"/>
        <v>24</v>
      </c>
      <c r="I32" s="2" t="str">
        <f t="shared" si="2"/>
        <v>CA</v>
      </c>
      <c r="J32" s="2" t="str">
        <f t="shared" si="3"/>
        <v>MAY</v>
      </c>
    </row>
    <row r="33" spans="1:10" x14ac:dyDescent="0.35">
      <c r="A33" s="2" t="s">
        <v>35</v>
      </c>
      <c r="B33" s="3" t="s">
        <v>56</v>
      </c>
      <c r="C33" t="s">
        <v>86</v>
      </c>
      <c r="D33">
        <v>50</v>
      </c>
      <c r="E33">
        <v>50</v>
      </c>
      <c r="F33" t="s">
        <v>95</v>
      </c>
      <c r="G33" t="str">
        <f t="shared" si="0"/>
        <v>Standard Price</v>
      </c>
      <c r="H33" s="2" t="str">
        <f t="shared" si="1"/>
        <v>02</v>
      </c>
      <c r="I33" s="2" t="str">
        <f t="shared" si="2"/>
        <v>CA</v>
      </c>
      <c r="J33" s="2" t="str">
        <f t="shared" si="3"/>
        <v xml:space="preserve"> DE</v>
      </c>
    </row>
    <row r="34" spans="1:10" x14ac:dyDescent="0.35">
      <c r="A34" s="2" t="s">
        <v>16</v>
      </c>
      <c r="B34" s="3" t="s">
        <v>37</v>
      </c>
      <c r="C34" t="s">
        <v>68</v>
      </c>
      <c r="D34">
        <v>950</v>
      </c>
      <c r="E34">
        <v>25</v>
      </c>
      <c r="F34" t="s">
        <v>88</v>
      </c>
      <c r="G34" t="str">
        <f t="shared" si="0"/>
        <v>High Price</v>
      </c>
      <c r="H34" s="2" t="str">
        <f t="shared" si="1"/>
        <v>17</v>
      </c>
      <c r="I34" s="2" t="str">
        <f t="shared" si="2"/>
        <v>IN</v>
      </c>
      <c r="J34" s="2" t="str">
        <f t="shared" si="3"/>
        <v>JUN</v>
      </c>
    </row>
    <row r="35" spans="1:10" x14ac:dyDescent="0.35">
      <c r="A35" s="2" t="s">
        <v>36</v>
      </c>
      <c r="B35" s="3" t="s">
        <v>57</v>
      </c>
      <c r="C35" t="s">
        <v>87</v>
      </c>
      <c r="D35">
        <v>100</v>
      </c>
      <c r="E35">
        <v>20</v>
      </c>
      <c r="F35" t="s">
        <v>91</v>
      </c>
      <c r="G35" t="str">
        <f t="shared" si="0"/>
        <v>Standard Price</v>
      </c>
      <c r="H35" s="2" t="str">
        <f t="shared" si="1"/>
        <v>09</v>
      </c>
      <c r="I35" s="2" t="str">
        <f t="shared" si="2"/>
        <v>FR</v>
      </c>
      <c r="J35" s="2" t="str">
        <f t="shared" si="3"/>
        <v>JUL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A527-44B3-4025-8491-5C8A58687F5A}">
  <dimension ref="A1:N22"/>
  <sheetViews>
    <sheetView topLeftCell="A7" workbookViewId="0">
      <selection activeCell="C22" sqref="C22:O22"/>
    </sheetView>
  </sheetViews>
  <sheetFormatPr defaultRowHeight="14.5" x14ac:dyDescent="0.35"/>
  <sheetData>
    <row r="1" spans="1:14" x14ac:dyDescent="0.35">
      <c r="A1" s="5" t="s">
        <v>96</v>
      </c>
      <c r="B1" s="6"/>
      <c r="C1" s="6"/>
      <c r="D1" s="6"/>
      <c r="E1" s="6"/>
    </row>
    <row r="3" spans="1:14" ht="15" x14ac:dyDescent="0.35">
      <c r="B3" s="7" t="s">
        <v>97</v>
      </c>
      <c r="C3" s="6"/>
      <c r="D3" s="6"/>
      <c r="E3" s="6"/>
      <c r="F3" s="6"/>
    </row>
    <row r="4" spans="1:14" ht="15.5" x14ac:dyDescent="0.35">
      <c r="B4" s="6"/>
      <c r="C4" s="8" t="s">
        <v>98</v>
      </c>
      <c r="D4" s="6"/>
      <c r="E4" s="6"/>
      <c r="F4" s="6"/>
    </row>
    <row r="5" spans="1:14" ht="15.5" x14ac:dyDescent="0.35">
      <c r="B5" s="6"/>
      <c r="C5" s="8" t="s">
        <v>99</v>
      </c>
      <c r="D5" s="6"/>
      <c r="E5" s="6"/>
      <c r="F5" s="6"/>
    </row>
    <row r="6" spans="1:14" ht="15.5" x14ac:dyDescent="0.35">
      <c r="B6" s="6"/>
      <c r="C6" s="8" t="s">
        <v>100</v>
      </c>
      <c r="D6" s="6"/>
      <c r="E6" s="6"/>
      <c r="F6" s="6"/>
    </row>
    <row r="8" spans="1:14" ht="15" x14ac:dyDescent="0.35">
      <c r="B8" s="7" t="s">
        <v>101</v>
      </c>
      <c r="C8" s="6"/>
      <c r="D8" s="6"/>
      <c r="E8" s="6"/>
      <c r="F8" s="6"/>
    </row>
    <row r="9" spans="1:14" ht="15.5" x14ac:dyDescent="0.35">
      <c r="B9" s="6"/>
      <c r="C9" s="8" t="s">
        <v>102</v>
      </c>
      <c r="D9" s="6"/>
      <c r="E9" s="6"/>
      <c r="F9" s="6"/>
    </row>
    <row r="10" spans="1:14" ht="15.5" x14ac:dyDescent="0.35">
      <c r="B10" s="6"/>
      <c r="C10" s="8" t="s">
        <v>103</v>
      </c>
      <c r="D10" s="6"/>
      <c r="E10" s="6"/>
      <c r="F10" s="6"/>
    </row>
    <row r="12" spans="1:14" ht="15" x14ac:dyDescent="0.35">
      <c r="B12" s="7" t="s">
        <v>104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ht="15.5" x14ac:dyDescent="0.35">
      <c r="B13" s="6"/>
      <c r="C13" s="8" t="s">
        <v>105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5" spans="1:14" ht="15" x14ac:dyDescent="0.35">
      <c r="B15" s="7" t="s">
        <v>106</v>
      </c>
      <c r="C15" s="6"/>
      <c r="D15" s="6"/>
      <c r="E15" s="6"/>
      <c r="F15" s="6"/>
      <c r="G15" s="6"/>
      <c r="H15" s="6"/>
    </row>
    <row r="16" spans="1:14" ht="15.5" x14ac:dyDescent="0.35">
      <c r="B16" s="6"/>
      <c r="C16" s="8" t="s">
        <v>107</v>
      </c>
      <c r="D16" s="6"/>
      <c r="E16" s="6"/>
      <c r="F16" s="6"/>
      <c r="G16" s="6"/>
      <c r="H16" s="6"/>
    </row>
    <row r="17" spans="2:11" ht="15.5" x14ac:dyDescent="0.35">
      <c r="B17" s="6"/>
      <c r="C17" s="8" t="s">
        <v>108</v>
      </c>
      <c r="D17" s="6"/>
      <c r="E17" s="6"/>
      <c r="F17" s="6"/>
      <c r="G17" s="6"/>
      <c r="H17" s="6"/>
    </row>
    <row r="18" spans="2:11" x14ac:dyDescent="0.35">
      <c r="B18" s="6"/>
      <c r="C18" s="6"/>
      <c r="D18" s="6"/>
      <c r="E18" s="6"/>
      <c r="F18" s="6"/>
      <c r="G18" s="6"/>
      <c r="H18" s="6"/>
    </row>
    <row r="19" spans="2:11" ht="15" x14ac:dyDescent="0.35">
      <c r="B19" s="7" t="s">
        <v>114</v>
      </c>
      <c r="C19" s="6"/>
      <c r="D19" s="6"/>
      <c r="E19" s="6"/>
      <c r="F19" s="6"/>
      <c r="G19" s="6"/>
      <c r="H19" s="6"/>
      <c r="I19" s="6"/>
      <c r="J19" s="6"/>
      <c r="K19" s="6"/>
    </row>
    <row r="20" spans="2:11" ht="15.5" x14ac:dyDescent="0.35">
      <c r="B20" s="6"/>
      <c r="C20" s="8" t="s">
        <v>115</v>
      </c>
      <c r="D20" s="6"/>
      <c r="E20" s="6"/>
      <c r="F20" s="6"/>
      <c r="G20" s="6"/>
      <c r="H20" s="6"/>
      <c r="I20" s="6"/>
      <c r="J20" s="6"/>
      <c r="K20" s="6"/>
    </row>
    <row r="21" spans="2:11" ht="15.5" x14ac:dyDescent="0.35">
      <c r="B21" s="6"/>
      <c r="C21" s="8" t="s">
        <v>116</v>
      </c>
      <c r="D21" s="6"/>
      <c r="E21" s="6"/>
      <c r="F21" s="6"/>
      <c r="G21" s="6"/>
      <c r="H21" s="6"/>
      <c r="I21" s="6"/>
      <c r="J21" s="6"/>
      <c r="K21" s="6"/>
    </row>
    <row r="22" spans="2:11" ht="15.5" x14ac:dyDescent="0.35">
      <c r="B22" s="6"/>
      <c r="C22" s="8" t="s">
        <v>117</v>
      </c>
      <c r="D22" s="6"/>
      <c r="E22" s="6"/>
      <c r="F22" s="6"/>
      <c r="G22" s="6"/>
      <c r="H22" s="6"/>
      <c r="I22" s="6"/>
      <c r="J22" s="6"/>
      <c r="K2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Anamika Sunil</dc:creator>
  <cp:lastModifiedBy>Anamika Sunil</cp:lastModifiedBy>
  <cp:lastPrinted>2026-10-28T06:35:47Z</cp:lastPrinted>
  <dcterms:created xsi:type="dcterms:W3CDTF">2026-10-26T10:55:03Z</dcterms:created>
  <dcterms:modified xsi:type="dcterms:W3CDTF">2026-10-28T06:35:52Z</dcterms:modified>
</cp:coreProperties>
</file>